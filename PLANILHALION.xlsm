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FB98704B303D2B5/Documentos/"/>
    </mc:Choice>
  </mc:AlternateContent>
  <xr:revisionPtr revIDLastSave="722" documentId="8_{6A3C8F7A-532D-4772-A0E0-B57EA917F26D}" xr6:coauthVersionLast="47" xr6:coauthVersionMax="47" xr10:uidLastSave="{482188C8-F73C-485E-8838-88E2925CE7E8}"/>
  <bookViews>
    <workbookView xWindow="-108" yWindow="-108" windowWidth="23256" windowHeight="12456" tabRatio="419" xr2:uid="{B719BD80-5456-4F54-9EFB-540D29D96F93}"/>
  </bookViews>
  <sheets>
    <sheet name="TÍTULAR" sheetId="1" r:id="rId1"/>
    <sheet name="INFORMES" sheetId="2" r:id="rId2"/>
    <sheet name="NOTAS" sheetId="4" r:id="rId3"/>
    <sheet name="TABELA" sheetId="5" state="hidden" r:id="rId4"/>
  </sheets>
  <definedNames>
    <definedName name="_xleta.AND" hidden="1" xlm="1">#NAME?</definedName>
    <definedName name="_xleta.SUM" hidden="1" xlm="1">#NAME?</definedName>
    <definedName name="_xleta.SUMIF" hidden="1" xlm="1">#NAME?</definedName>
    <definedName name="_xlnm.Print_Area" localSheetId="0">TÍTULAR!$F$11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" l="1"/>
  <c r="H12" i="4"/>
  <c r="H10" i="4"/>
  <c r="H9" i="4"/>
  <c r="C8" i="2"/>
</calcChain>
</file>

<file path=xl/sharedStrings.xml><?xml version="1.0" encoding="utf-8"?>
<sst xmlns="http://schemas.openxmlformats.org/spreadsheetml/2006/main" count="110" uniqueCount="91">
  <si>
    <t>NOME</t>
  </si>
  <si>
    <t>CPF</t>
  </si>
  <si>
    <t>NASCIMENTO</t>
  </si>
  <si>
    <t xml:space="preserve">TITULO  DE ELEITOR </t>
  </si>
  <si>
    <t>CONJUGUE</t>
  </si>
  <si>
    <t>RUA</t>
  </si>
  <si>
    <t>CEP</t>
  </si>
  <si>
    <t>TELEFONE</t>
  </si>
  <si>
    <t>CELULAR</t>
  </si>
  <si>
    <t>E-MAIL</t>
  </si>
  <si>
    <t xml:space="preserve">HOUVE ALTERAÇÕES DA ENTREGA ANTERIOR </t>
  </si>
  <si>
    <t>DEPEDENTE  CONJUGUE</t>
  </si>
  <si>
    <t>RESIDENTE DO EXTERIOR</t>
  </si>
  <si>
    <r>
      <t xml:space="preserve">1 </t>
    </r>
    <r>
      <rPr>
        <b/>
        <sz val="15"/>
        <color rgb="FF8538BE"/>
        <rFont val="Segoe UI Light"/>
        <family val="2"/>
      </rPr>
      <t>DADOS DO TÍTULAR</t>
    </r>
  </si>
  <si>
    <t>Não</t>
  </si>
  <si>
    <t>Caroline Alves</t>
  </si>
  <si>
    <t>CarolinAlves@gmail.com</t>
  </si>
  <si>
    <t>2 INFORMES DO RENDIMENTOS BANCÁRIOS</t>
  </si>
  <si>
    <t>BANCO</t>
  </si>
  <si>
    <t>VALOR ATUAL</t>
  </si>
  <si>
    <t>ANEXO🖇️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</si>
  <si>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</si>
  <si>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</si>
  <si>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</si>
  <si>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</si>
  <si>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</si>
  <si>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</si>
  <si>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</si>
  <si>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</si>
  <si>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</si>
  <si>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</si>
  <si>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</si>
  <si>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</si>
  <si>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</si>
  <si>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</si>
  <si>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</si>
  <si>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</si>
  <si>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</si>
  <si>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</si>
  <si>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</si>
  <si>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</si>
  <si>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</si>
  <si>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</si>
  <si>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</si>
  <si>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</si>
  <si>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</si>
  <si>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</si>
  <si>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</si>
  <si>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</si>
  <si>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</si>
  <si>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</si>
  <si>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</si>
  <si>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</si>
  <si>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</si>
  <si>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</si>
  <si>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</si>
  <si>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</si>
  <si>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</si>
  <si>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</si>
  <si>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</si>
  <si>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</si>
  <si>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</si>
  <si>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</si>
  <si>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</si>
  <si>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</si>
  <si>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</si>
  <si>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</si>
  <si>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</si>
  <si>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</si>
  <si>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</si>
  <si>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</si>
  <si>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</si>
  <si>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</si>
  <si>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T</t>
  </si>
  <si>
    <t>2° Banco</t>
  </si>
  <si>
    <t>3° Banco</t>
  </si>
  <si>
    <t>BANCO2X.PDF</t>
  </si>
  <si>
    <t>BANCO3X.PDF</t>
  </si>
  <si>
    <t>TOTAL</t>
  </si>
  <si>
    <t>DATA</t>
  </si>
  <si>
    <t>CATEGORIA</t>
  </si>
  <si>
    <t xml:space="preserve">3 NOTAS BANCÁRIAS OU EXTRATO DE HOLERITE </t>
  </si>
  <si>
    <t xml:space="preserve">      PREENCHA OS DADOS DA PESSOA FÍSICO ABAIXO </t>
  </si>
  <si>
    <t xml:space="preserve">        PREENCHA COM SEUS DADOS ATUAÍS DE CADA BANCO </t>
  </si>
  <si>
    <t xml:space="preserve">        SÃO TODOS OS VALORES MÊS A MÊS DE ENTRADA DE RECEITA</t>
  </si>
  <si>
    <t>VALOR</t>
  </si>
  <si>
    <t>ENTRADA</t>
  </si>
  <si>
    <t>FREELANCE</t>
  </si>
  <si>
    <t>CNPF</t>
  </si>
  <si>
    <t>HOLERITE</t>
  </si>
  <si>
    <t xml:space="preserve">Rua Arara azul   lote 15   Brasília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</si>
</sst>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R$&quot;\ #,##0;\-&quot;R$&quot;\ #,##0"/>
    <numFmt numFmtId="44" formatCode="_-&quot;R$&quot;\ * #,##0.00_-;\-&quot;R$&quot;\ * #,##0.00_-;_-&quot;R$&quot;\ * &quot;-&quot;??_-;_-@_-"/>
    <numFmt numFmtId="164" formatCode="00000\-000"/>
    <numFmt numFmtId="165" formatCode="000&quot;.&quot;000&quot;.&quot;000&quot;.&quot;000"/>
    <numFmt numFmtId="166" formatCode="000&quot;.&quot;000&quot;.&quot;000&quot;.&quot;&quot;-&quot;00"/>
    <numFmt numFmtId="167" formatCode="&quot;(&quot;00&quot;)&quot;\ 0000&quot;-&quot;0000"/>
    <numFmt numFmtId="168" formatCode="&quot;(&quot;00&quot;)&quot;\ 00000&quot;-&quot;0000"/>
    <numFmt numFmtId="169" formatCode="00&quot;/&quot;00&quot;/&quot;0000"/>
    <numFmt numFmtId="170" formatCode="_-[$R$-416]\ * #,##0.00_-;\-[$R$-416]\ * #,##0.00_-;_-[$R$-416]\ * &quot;-&quot;??_-;_-@_-"/>
    <numFmt numFmtId="171" formatCode="#,##0.00_ ;\-#,##0.00\ 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rial Black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0.499984740745262"/>
      <name val="Segoe UI Semilight"/>
      <family val="2"/>
    </font>
    <font>
      <b/>
      <sz val="15"/>
      <color rgb="FF8538BE"/>
      <name val="Aptos Narrow"/>
      <family val="2"/>
      <scheme val="minor"/>
    </font>
    <font>
      <b/>
      <sz val="15"/>
      <color rgb="FF8538BE"/>
      <name val="Segoe UI Light"/>
      <family val="2"/>
    </font>
    <font>
      <i/>
      <sz val="11"/>
      <name val="Aptos Narrow"/>
      <family val="2"/>
      <scheme val="minor"/>
    </font>
    <font>
      <i/>
      <sz val="11"/>
      <color theme="8" tint="-0.24997711111789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Segoe UI Light"/>
      <family val="2"/>
    </font>
    <font>
      <b/>
      <sz val="11"/>
      <color theme="0"/>
      <name val="Segoe UI Light"/>
      <family val="2"/>
    </font>
    <font>
      <sz val="11"/>
      <color theme="0"/>
      <name val="Segoe UI Semilight"/>
      <family val="2"/>
    </font>
    <font>
      <sz val="11"/>
      <color theme="8" tint="-0.499984740745262"/>
      <name val="Aptos Narrow"/>
      <family val="2"/>
      <scheme val="minor"/>
    </font>
    <font>
      <u/>
      <sz val="11"/>
      <color theme="8" tint="-0.499984740745262"/>
      <name val="Aptos Narrow"/>
      <family val="2"/>
      <scheme val="minor"/>
    </font>
    <font>
      <sz val="14"/>
      <color theme="8" tint="-0.499984740745262"/>
      <name val="Aptos Narrow"/>
      <family val="2"/>
      <scheme val="minor"/>
    </font>
    <font>
      <b/>
      <sz val="11"/>
      <color theme="8" tint="-0.499984740745262"/>
      <name val="Segoe UI Light"/>
      <family val="2"/>
    </font>
    <font>
      <sz val="11"/>
      <color theme="8" tint="-0.499984740745262"/>
      <name val="Segoe UI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D35D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ck">
        <color rgb="FFFD35D2"/>
      </top>
      <bottom/>
      <diagonal/>
    </border>
    <border>
      <left style="thin">
        <color theme="8" tint="0.39991454817346722"/>
      </left>
      <right style="thin">
        <color theme="8" tint="0.39991454817346722"/>
      </right>
      <top style="thin">
        <color theme="8" tint="0.39991454817346722"/>
      </top>
      <bottom style="thin">
        <color theme="8" tint="0.39991454817346722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8" tint="0.39991454817346722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3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2" applyFont="1" applyBorder="1"/>
    <xf numFmtId="0" fontId="3" fillId="0" borderId="0" xfId="2" applyBorder="1"/>
    <xf numFmtId="0" fontId="10" fillId="4" borderId="3" xfId="0" applyFont="1" applyFill="1" applyBorder="1" applyAlignment="1">
      <alignment horizontal="left"/>
    </xf>
    <xf numFmtId="0" fontId="12" fillId="0" borderId="0" xfId="0" applyFont="1"/>
    <xf numFmtId="0" fontId="5" fillId="5" borderId="0" xfId="0" applyFont="1" applyFill="1"/>
    <xf numFmtId="0" fontId="10" fillId="4" borderId="3" xfId="0" applyFont="1" applyFill="1" applyBorder="1"/>
    <xf numFmtId="0" fontId="9" fillId="4" borderId="3" xfId="0" applyFont="1" applyFill="1" applyBorder="1"/>
    <xf numFmtId="169" fontId="12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1" applyNumberFormat="1" applyFont="1" applyProtection="1">
      <protection locked="0"/>
    </xf>
    <xf numFmtId="0" fontId="14" fillId="0" borderId="2" xfId="0" applyFont="1" applyBorder="1" applyAlignment="1">
      <alignment horizontal="right"/>
    </xf>
    <xf numFmtId="0" fontId="14" fillId="0" borderId="2" xfId="0" applyFont="1" applyBorder="1" applyAlignment="1">
      <alignment horizontal="left"/>
    </xf>
    <xf numFmtId="0" fontId="14" fillId="0" borderId="5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15" fillId="4" borderId="2" xfId="3" applyFont="1" applyFill="1" applyBorder="1" applyProtection="1">
      <protection locked="0"/>
    </xf>
    <xf numFmtId="166" fontId="15" fillId="4" borderId="2" xfId="3" applyNumberFormat="1" applyFont="1" applyFill="1" applyBorder="1" applyAlignment="1" applyProtection="1">
      <alignment horizontal="left"/>
      <protection locked="0"/>
    </xf>
    <xf numFmtId="14" fontId="15" fillId="4" borderId="2" xfId="3" applyNumberFormat="1" applyFont="1" applyFill="1" applyBorder="1" applyAlignment="1" applyProtection="1">
      <alignment horizontal="left"/>
      <protection locked="0"/>
    </xf>
    <xf numFmtId="165" fontId="15" fillId="4" borderId="2" xfId="3" applyNumberFormat="1" applyFont="1" applyFill="1" applyBorder="1" applyAlignment="1" applyProtection="1">
      <alignment horizontal="left"/>
      <protection locked="0"/>
    </xf>
    <xf numFmtId="49" fontId="15" fillId="4" borderId="2" xfId="3" applyNumberFormat="1" applyFont="1" applyFill="1" applyBorder="1" applyProtection="1">
      <protection locked="0"/>
    </xf>
    <xf numFmtId="164" fontId="15" fillId="4" borderId="2" xfId="3" applyNumberFormat="1" applyFont="1" applyFill="1" applyBorder="1" applyAlignment="1" applyProtection="1">
      <alignment horizontal="left"/>
      <protection locked="0"/>
    </xf>
    <xf numFmtId="167" fontId="15" fillId="4" borderId="2" xfId="3" applyNumberFormat="1" applyFont="1" applyFill="1" applyBorder="1" applyAlignment="1" applyProtection="1">
      <alignment horizontal="left"/>
      <protection locked="0"/>
    </xf>
    <xf numFmtId="168" fontId="15" fillId="4" borderId="2" xfId="3" applyNumberFormat="1" applyFont="1" applyFill="1" applyBorder="1" applyAlignment="1" applyProtection="1">
      <alignment horizontal="left"/>
      <protection locked="0"/>
    </xf>
    <xf numFmtId="0" fontId="16" fillId="4" borderId="2" xfId="4" applyFont="1" applyFill="1" applyBorder="1" applyProtection="1">
      <protection locked="0"/>
    </xf>
    <xf numFmtId="5" fontId="15" fillId="4" borderId="2" xfId="3" applyNumberFormat="1" applyFont="1" applyFill="1" applyBorder="1" applyAlignment="1" applyProtection="1">
      <alignment horizontal="left"/>
      <protection locked="0"/>
    </xf>
    <xf numFmtId="169" fontId="18" fillId="0" borderId="0" xfId="0" applyNumberFormat="1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70" fontId="15" fillId="0" borderId="0" xfId="1" applyNumberFormat="1" applyFont="1" applyAlignment="1" applyProtection="1">
      <alignment horizontal="center" vertical="center"/>
      <protection locked="0"/>
    </xf>
    <xf numFmtId="169" fontId="18" fillId="0" borderId="0" xfId="0" applyNumberFormat="1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170" fontId="15" fillId="0" borderId="0" xfId="1" applyNumberFormat="1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5" fillId="4" borderId="4" xfId="0" applyFont="1" applyFill="1" applyBorder="1"/>
    <xf numFmtId="0" fontId="19" fillId="4" borderId="4" xfId="0" applyFont="1" applyFill="1" applyBorder="1"/>
    <xf numFmtId="171" fontId="15" fillId="4" borderId="4" xfId="0" applyNumberFormat="1" applyFont="1" applyFill="1" applyBorder="1"/>
    <xf numFmtId="0" fontId="10" fillId="4" borderId="3" xfId="0" applyFont="1" applyFill="1" applyBorder="1" applyAlignment="1">
      <alignment horizontal="left"/>
    </xf>
    <xf numFmtId="0" fontId="9" fillId="4" borderId="3" xfId="0" applyFont="1" applyFill="1" applyBorder="1" applyAlignment="1">
      <alignment horizontal="left"/>
    </xf>
    <xf numFmtId="5" fontId="17" fillId="4" borderId="0" xfId="3" applyNumberFormat="1" applyFont="1" applyFill="1" applyAlignment="1">
      <alignment horizontal="center"/>
    </xf>
    <xf numFmtId="0" fontId="17" fillId="4" borderId="0" xfId="3" applyFont="1" applyFill="1" applyAlignment="1">
      <alignment horizontal="center"/>
    </xf>
    <xf numFmtId="0" fontId="13" fillId="6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0" fontId="0" fillId="6" borderId="6" xfId="0" applyFill="1" applyBorder="1" applyAlignment="1">
      <alignment horizontal="center"/>
    </xf>
  </cellXfs>
  <cellStyles count="5">
    <cellStyle name="Hiperlink" xfId="4" builtinId="8"/>
    <cellStyle name="Moeda" xfId="1" builtinId="4"/>
    <cellStyle name="Neutro" xfId="3" builtinId="28"/>
    <cellStyle name="Normal" xfId="0" builtinId="0"/>
    <cellStyle name="Título 1" xfId="2" builtinId="16"/>
  </cellStyles>
  <dxfs count="5">
    <dxf>
      <numFmt numFmtId="170" formatCode="_-[$R$-416]\ * #,##0.00_-;\-[$R$-416]\ * #,##0.00_-;_-[$R$-416]\ * &quot;-&quot;??_-;_-@_-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numFmt numFmtId="169" formatCode="00&quot;/&quot;00&quot;/&quot;000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 Light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499984740745262"/>
        <name val="Segoe UI Light"/>
        <family val="2"/>
        <scheme val="none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FFFFF"/>
      <color rgb="FFEAD3ED"/>
      <color rgb="FFFD35D2"/>
      <color rgb="FF61248F"/>
      <color rgb="FF8538BE"/>
      <color rgb="FFED23D0"/>
      <color rgb="FFEE3ABF"/>
      <color rgb="FFEE37BF"/>
      <color rgb="FFC137C8"/>
      <color rgb="FFF286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NOTAS!$G$9:$G$12</c:f>
              <c:strCache>
                <c:ptCount val="4"/>
                <c:pt idx="0">
                  <c:v>FREELANCE</c:v>
                </c:pt>
                <c:pt idx="1">
                  <c:v>CNPF</c:v>
                </c:pt>
                <c:pt idx="2">
                  <c:v>HOLERITE</c:v>
                </c:pt>
                <c:pt idx="3">
                  <c:v>TOTAL</c:v>
                </c:pt>
              </c:strCache>
            </c:strRef>
          </c:cat>
          <c:val>
            <c:numRef>
              <c:f>NOTAS!$H$9:$H$12</c:f>
              <c:numCache>
                <c:formatCode>General</c:formatCode>
                <c:ptCount val="4"/>
                <c:pt idx="0">
                  <c:v>162</c:v>
                </c:pt>
                <c:pt idx="1">
                  <c:v>123</c:v>
                </c:pt>
                <c:pt idx="2">
                  <c:v>2000</c:v>
                </c:pt>
                <c:pt idx="3" formatCode="#,##0.00_ ;\-#,##0.00\ ">
                  <c:v>2285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C-4493-94A4-91FEF90130B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6978207"/>
        <c:axId val="166978687"/>
      </c:barChart>
      <c:catAx>
        <c:axId val="16697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978687"/>
        <c:crosses val="autoZero"/>
        <c:auto val="1"/>
        <c:lblAlgn val="ctr"/>
        <c:lblOffset val="100"/>
        <c:noMultiLvlLbl val="0"/>
      </c:catAx>
      <c:valAx>
        <c:axId val="16697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978207"/>
        <c:crosses val="autoZero"/>
        <c:crossBetween val="between"/>
      </c:valAx>
      <c:spPr>
        <a:noFill/>
        <a:ln>
          <a:solidFill>
            <a:schemeClr val="accent5">
              <a:lumMod val="40000"/>
              <a:lumOff val="6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&#205;TULAR!C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T&#205;TULAR!A1"/><Relationship Id="rId3" Type="http://schemas.openxmlformats.org/officeDocument/2006/relationships/hyperlink" Target="#INFORMES!C1"/><Relationship Id="rId7" Type="http://schemas.openxmlformats.org/officeDocument/2006/relationships/hyperlink" Target="#NOTAS!C1"/><Relationship Id="rId2" Type="http://schemas.openxmlformats.org/officeDocument/2006/relationships/hyperlink" Target="#T&#205;TULAR!C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7" Type="http://schemas.openxmlformats.org/officeDocument/2006/relationships/chart" Target="../charts/chart1.xml"/><Relationship Id="rId2" Type="http://schemas.openxmlformats.org/officeDocument/2006/relationships/hyperlink" Target="#T&#205;TULAR!A1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5" Type="http://schemas.openxmlformats.org/officeDocument/2006/relationships/hyperlink" Target="https://br.linkedin.com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3</xdr:row>
      <xdr:rowOff>259080</xdr:rowOff>
    </xdr:from>
    <xdr:to>
      <xdr:col>0</xdr:col>
      <xdr:colOff>1805940</xdr:colOff>
      <xdr:row>9</xdr:row>
      <xdr:rowOff>129540</xdr:rowOff>
    </xdr:to>
    <xdr:pic>
      <xdr:nvPicPr>
        <xdr:cNvPr id="3" name="Imagem 2" descr="Leão - ícones de animais grátis">
          <a:extLst>
            <a:ext uri="{FF2B5EF4-FFF2-40B4-BE49-F238E27FC236}">
              <a16:creationId xmlns:a16="http://schemas.microsoft.com/office/drawing/2014/main" id="{FBC6DAF0-F0FB-9AC5-6727-2B055C6F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80772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A71CF41-1F9C-F263-37E0-A71C20D675CA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10</xdr:row>
      <xdr:rowOff>160020</xdr:rowOff>
    </xdr:from>
    <xdr:to>
      <xdr:col>0</xdr:col>
      <xdr:colOff>2297430</xdr:colOff>
      <xdr:row>13</xdr:row>
      <xdr:rowOff>68580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13B029-6284-C4D2-A214-C9217AC66CF3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A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64770</xdr:colOff>
      <xdr:row>13</xdr:row>
      <xdr:rowOff>144780</xdr:rowOff>
    </xdr:from>
    <xdr:to>
      <xdr:col>0</xdr:col>
      <xdr:colOff>2297430</xdr:colOff>
      <xdr:row>16</xdr:row>
      <xdr:rowOff>53340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11194-C34C-4B5E-9B7E-A9F5B4CAE257}"/>
            </a:ext>
          </a:extLst>
        </xdr:cNvPr>
        <xdr:cNvSpPr/>
      </xdr:nvSpPr>
      <xdr:spPr>
        <a:xfrm>
          <a:off x="64770" y="286512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129540</xdr:rowOff>
    </xdr:from>
    <xdr:to>
      <xdr:col>0</xdr:col>
      <xdr:colOff>2297430</xdr:colOff>
      <xdr:row>19</xdr:row>
      <xdr:rowOff>38100</xdr:rowOff>
    </xdr:to>
    <xdr:sp macro="" textlink="">
      <xdr:nvSpPr>
        <xdr:cNvPr id="14" name="Retângulo: Cantos Arredondado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8A66C9-A7BB-4012-AE34-6521C32429BE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20</xdr:row>
      <xdr:rowOff>167640</xdr:rowOff>
    </xdr:from>
    <xdr:to>
      <xdr:col>0</xdr:col>
      <xdr:colOff>2255520</xdr:colOff>
      <xdr:row>24</xdr:row>
      <xdr:rowOff>129540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42D25351-57E6-7F9F-A429-26978960225E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 editAs="absolute">
    <xdr:from>
      <xdr:col>0</xdr:col>
      <xdr:colOff>220980</xdr:colOff>
      <xdr:row>21</xdr:row>
      <xdr:rowOff>137160</xdr:rowOff>
    </xdr:from>
    <xdr:to>
      <xdr:col>0</xdr:col>
      <xdr:colOff>2110740</xdr:colOff>
      <xdr:row>21</xdr:row>
      <xdr:rowOff>137160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668DA31D-C351-10A3-DC00-848607240460}"/>
            </a:ext>
          </a:extLst>
        </xdr:cNvPr>
        <xdr:cNvCxnSpPr/>
      </xdr:nvCxnSpPr>
      <xdr:spPr>
        <a:xfrm>
          <a:off x="220980" y="454152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24</xdr:row>
      <xdr:rowOff>127000</xdr:rowOff>
    </xdr:from>
    <xdr:to>
      <xdr:col>0</xdr:col>
      <xdr:colOff>1320800</xdr:colOff>
      <xdr:row>26</xdr:row>
      <xdr:rowOff>66040</xdr:rowOff>
    </xdr:to>
    <xdr:pic>
      <xdr:nvPicPr>
        <xdr:cNvPr id="26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891CA24-A459-40EF-4478-6AF16AAB62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22860</xdr:colOff>
      <xdr:row>19</xdr:row>
      <xdr:rowOff>182880</xdr:rowOff>
    </xdr:from>
    <xdr:to>
      <xdr:col>3</xdr:col>
      <xdr:colOff>2415540</xdr:colOff>
      <xdr:row>21</xdr:row>
      <xdr:rowOff>175260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702ED25-2417-847B-D603-FAA001B77D97}"/>
            </a:ext>
          </a:extLst>
        </xdr:cNvPr>
        <xdr:cNvSpPr/>
      </xdr:nvSpPr>
      <xdr:spPr>
        <a:xfrm>
          <a:off x="5966460" y="4183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541020</xdr:colOff>
      <xdr:row>4</xdr:row>
      <xdr:rowOff>22860</xdr:rowOff>
    </xdr:from>
    <xdr:to>
      <xdr:col>0</xdr:col>
      <xdr:colOff>1813560</xdr:colOff>
      <xdr:row>10</xdr:row>
      <xdr:rowOff>167640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847843C8-81FE-4B90-9BB0-9BB8292CD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020" y="83058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B465B1F-F8C9-44CD-9E32-D3E054599B03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11</xdr:row>
      <xdr:rowOff>175260</xdr:rowOff>
    </xdr:from>
    <xdr:to>
      <xdr:col>0</xdr:col>
      <xdr:colOff>2297430</xdr:colOff>
      <xdr:row>13</xdr:row>
      <xdr:rowOff>129540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EDF75A-9F26-4CB4-BDF6-47C994FD3B69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64770</xdr:colOff>
      <xdr:row>13</xdr:row>
      <xdr:rowOff>205740</xdr:rowOff>
    </xdr:from>
    <xdr:to>
      <xdr:col>0</xdr:col>
      <xdr:colOff>2297430</xdr:colOff>
      <xdr:row>15</xdr:row>
      <xdr:rowOff>160020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A349B2-C56F-49B5-AEFF-C26DD2591599}"/>
            </a:ext>
          </a:extLst>
        </xdr:cNvPr>
        <xdr:cNvSpPr/>
      </xdr:nvSpPr>
      <xdr:spPr>
        <a:xfrm>
          <a:off x="64770" y="286512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7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22860</xdr:rowOff>
    </xdr:from>
    <xdr:to>
      <xdr:col>0</xdr:col>
      <xdr:colOff>2297430</xdr:colOff>
      <xdr:row>17</xdr:row>
      <xdr:rowOff>190500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CB42FC-261E-4920-8C32-06FE25CF8F30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19</xdr:row>
      <xdr:rowOff>114300</xdr:rowOff>
    </xdr:from>
    <xdr:to>
      <xdr:col>0</xdr:col>
      <xdr:colOff>2255520</xdr:colOff>
      <xdr:row>23</xdr:row>
      <xdr:rowOff>7620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58B1CE0-F693-4179-B25B-F32706170EFB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 editAs="absolute">
    <xdr:from>
      <xdr:col>0</xdr:col>
      <xdr:colOff>228600</xdr:colOff>
      <xdr:row>19</xdr:row>
      <xdr:rowOff>213360</xdr:rowOff>
    </xdr:from>
    <xdr:to>
      <xdr:col>0</xdr:col>
      <xdr:colOff>2118360</xdr:colOff>
      <xdr:row>19</xdr:row>
      <xdr:rowOff>213360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A7EBF59-F631-4180-AA83-C056F0A88EF6}"/>
            </a:ext>
          </a:extLst>
        </xdr:cNvPr>
        <xdr:cNvCxnSpPr/>
      </xdr:nvCxnSpPr>
      <xdr:spPr>
        <a:xfrm>
          <a:off x="228600" y="448818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23</xdr:row>
      <xdr:rowOff>5080</xdr:rowOff>
    </xdr:from>
    <xdr:to>
      <xdr:col>0</xdr:col>
      <xdr:colOff>1320800</xdr:colOff>
      <xdr:row>24</xdr:row>
      <xdr:rowOff>127000</xdr:rowOff>
    </xdr:to>
    <xdr:pic>
      <xdr:nvPicPr>
        <xdr:cNvPr id="13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1DDA11-E628-4F2F-B1FE-2D222150E7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30480</xdr:colOff>
      <xdr:row>22</xdr:row>
      <xdr:rowOff>53340</xdr:rowOff>
    </xdr:from>
    <xdr:to>
      <xdr:col>4</xdr:col>
      <xdr:colOff>0</xdr:colOff>
      <xdr:row>24</xdr:row>
      <xdr:rowOff>83820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84BDE07-3EEF-4602-9C05-79AE0BF92620}"/>
            </a:ext>
          </a:extLst>
        </xdr:cNvPr>
        <xdr:cNvSpPr/>
      </xdr:nvSpPr>
      <xdr:spPr>
        <a:xfrm>
          <a:off x="5974080" y="4945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 &gt;</a:t>
          </a:r>
        </a:p>
      </xdr:txBody>
    </xdr:sp>
    <xdr:clientData/>
  </xdr:twoCellAnchor>
  <xdr:twoCellAnchor editAs="absolute">
    <xdr:from>
      <xdr:col>2</xdr:col>
      <xdr:colOff>449580</xdr:colOff>
      <xdr:row>22</xdr:row>
      <xdr:rowOff>53340</xdr:rowOff>
    </xdr:from>
    <xdr:to>
      <xdr:col>2</xdr:col>
      <xdr:colOff>2842260</xdr:colOff>
      <xdr:row>24</xdr:row>
      <xdr:rowOff>83820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8E80555-5CC7-4859-A7F9-1C3E66B3BCD0}"/>
            </a:ext>
          </a:extLst>
        </xdr:cNvPr>
        <xdr:cNvSpPr/>
      </xdr:nvSpPr>
      <xdr:spPr>
        <a:xfrm>
          <a:off x="3520440" y="4945380"/>
          <a:ext cx="2392680" cy="39624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</a:t>
          </a:r>
          <a:r>
            <a:rPr lang="pt-BR" sz="1100" baseline="0"/>
            <a:t>  </a:t>
          </a:r>
          <a:r>
            <a:rPr lang="pt-BR" sz="1100"/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533400</xdr:colOff>
      <xdr:row>4</xdr:row>
      <xdr:rowOff>0</xdr:rowOff>
    </xdr:from>
    <xdr:to>
      <xdr:col>0</xdr:col>
      <xdr:colOff>1805940</xdr:colOff>
      <xdr:row>9</xdr:row>
      <xdr:rowOff>175260</xdr:rowOff>
    </xdr:to>
    <xdr:pic>
      <xdr:nvPicPr>
        <xdr:cNvPr id="2" name="Imagem 1" descr="Leão - ícones de animais grátis">
          <a:extLst>
            <a:ext uri="{FF2B5EF4-FFF2-40B4-BE49-F238E27FC236}">
              <a16:creationId xmlns:a16="http://schemas.microsoft.com/office/drawing/2014/main" id="{6BE01DE7-A972-4777-A5D1-46563BC44E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807720"/>
          <a:ext cx="1272540" cy="1188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167640</xdr:colOff>
      <xdr:row>1</xdr:row>
      <xdr:rowOff>53340</xdr:rowOff>
    </xdr:from>
    <xdr:to>
      <xdr:col>0</xdr:col>
      <xdr:colOff>2171700</xdr:colOff>
      <xdr:row>3</xdr:row>
      <xdr:rowOff>236220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ABFEC47-511C-40A7-9D3F-BD2C25F522F8}"/>
            </a:ext>
          </a:extLst>
        </xdr:cNvPr>
        <xdr:cNvSpPr/>
      </xdr:nvSpPr>
      <xdr:spPr>
        <a:xfrm>
          <a:off x="167640" y="236220"/>
          <a:ext cx="2004060" cy="548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LION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Britannic Bold" panose="020B0903060703020204" pitchFamily="34" charset="0"/>
            </a:rPr>
            <a:t> </a:t>
          </a:r>
          <a:r>
            <a:rPr lang="pt-BR" sz="2000" baseline="0">
              <a:ln>
                <a:noFill/>
              </a:ln>
              <a:gradFill flip="none" rotWithShape="1">
                <a:gsLst>
                  <a:gs pos="77000">
                    <a:srgbClr val="A239BF"/>
                  </a:gs>
                  <a:gs pos="33000">
                    <a:srgbClr val="BA39BF"/>
                  </a:gs>
                  <a:gs pos="0">
                    <a:schemeClr val="bg1"/>
                  </a:gs>
                  <a:gs pos="100000">
                    <a:srgbClr val="8538BE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APP</a:t>
          </a:r>
          <a:endParaRPr lang="pt-BR" sz="2000">
            <a:ln>
              <a:noFill/>
            </a:ln>
            <a:gradFill flip="none" rotWithShape="1">
              <a:gsLst>
                <a:gs pos="77000">
                  <a:srgbClr val="A239BF"/>
                </a:gs>
                <a:gs pos="33000">
                  <a:srgbClr val="BA39BF"/>
                </a:gs>
                <a:gs pos="0">
                  <a:schemeClr val="bg1"/>
                </a:gs>
                <a:gs pos="100000">
                  <a:srgbClr val="8538BE"/>
                </a:gs>
              </a:gsLst>
              <a:lin ang="0" scaled="1"/>
              <a:tileRect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64770</xdr:colOff>
      <xdr:row>10</xdr:row>
      <xdr:rowOff>205740</xdr:rowOff>
    </xdr:from>
    <xdr:to>
      <xdr:col>0</xdr:col>
      <xdr:colOff>2297430</xdr:colOff>
      <xdr:row>13</xdr:row>
      <xdr:rowOff>106680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EED373-A2AA-4465-8730-20A5E871C31D}"/>
            </a:ext>
          </a:extLst>
        </xdr:cNvPr>
        <xdr:cNvSpPr/>
      </xdr:nvSpPr>
      <xdr:spPr>
        <a:xfrm>
          <a:off x="64770" y="22402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72390</xdr:colOff>
      <xdr:row>13</xdr:row>
      <xdr:rowOff>205740</xdr:rowOff>
    </xdr:from>
    <xdr:to>
      <xdr:col>0</xdr:col>
      <xdr:colOff>2305050</xdr:colOff>
      <xdr:row>16</xdr:row>
      <xdr:rowOff>114300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811501-F283-4777-A65B-E962B862B5F8}"/>
            </a:ext>
          </a:extLst>
        </xdr:cNvPr>
        <xdr:cNvSpPr/>
      </xdr:nvSpPr>
      <xdr:spPr>
        <a:xfrm>
          <a:off x="72390" y="2887980"/>
          <a:ext cx="2232660" cy="54864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64770</xdr:colOff>
      <xdr:row>16</xdr:row>
      <xdr:rowOff>167640</xdr:rowOff>
    </xdr:from>
    <xdr:to>
      <xdr:col>0</xdr:col>
      <xdr:colOff>2297430</xdr:colOff>
      <xdr:row>19</xdr:row>
      <xdr:rowOff>76200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B0119F0-082D-4E85-9B6F-87C4C1F7688C}"/>
            </a:ext>
          </a:extLst>
        </xdr:cNvPr>
        <xdr:cNvSpPr/>
      </xdr:nvSpPr>
      <xdr:spPr>
        <a:xfrm>
          <a:off x="64770" y="3489960"/>
          <a:ext cx="2232660" cy="548640"/>
        </a:xfrm>
        <a:prstGeom prst="roundRect">
          <a:avLst>
            <a:gd name="adj" fmla="val 50000"/>
          </a:avLst>
        </a:prstGeom>
        <a:gradFill>
          <a:gsLst>
            <a:gs pos="27000">
              <a:srgbClr val="EE3ABF"/>
            </a:gs>
            <a:gs pos="100000">
              <a:srgbClr val="8538BE"/>
            </a:gs>
          </a:gsLst>
          <a:lin ang="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    </a:t>
          </a:r>
          <a:r>
            <a:rPr lang="pt-BR" sz="1800">
              <a:latin typeface="Segoe UI Semilight" panose="020B0402040204020203" pitchFamily="34" charset="0"/>
              <a:cs typeface="Segoe UI Semilight" panose="020B04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21</xdr:row>
      <xdr:rowOff>0</xdr:rowOff>
    </xdr:from>
    <xdr:to>
      <xdr:col>0</xdr:col>
      <xdr:colOff>2255520</xdr:colOff>
      <xdr:row>24</xdr:row>
      <xdr:rowOff>53340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53C0E87-D639-41C1-B320-21EA35A07071}"/>
            </a:ext>
          </a:extLst>
        </xdr:cNvPr>
        <xdr:cNvSpPr/>
      </xdr:nvSpPr>
      <xdr:spPr>
        <a:xfrm>
          <a:off x="152400" y="4389120"/>
          <a:ext cx="2103120" cy="6934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BY TRINDADE 💜</a:t>
          </a:r>
        </a:p>
      </xdr:txBody>
    </xdr:sp>
    <xdr:clientData/>
  </xdr:twoCellAnchor>
  <xdr:twoCellAnchor>
    <xdr:from>
      <xdr:col>0</xdr:col>
      <xdr:colOff>251460</xdr:colOff>
      <xdr:row>24</xdr:row>
      <xdr:rowOff>106680</xdr:rowOff>
    </xdr:from>
    <xdr:to>
      <xdr:col>0</xdr:col>
      <xdr:colOff>2141220</xdr:colOff>
      <xdr:row>24</xdr:row>
      <xdr:rowOff>106680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797BE7BB-8DC1-4454-9A88-898CE9B81543}"/>
            </a:ext>
          </a:extLst>
        </xdr:cNvPr>
        <xdr:cNvCxnSpPr/>
      </xdr:nvCxnSpPr>
      <xdr:spPr>
        <a:xfrm>
          <a:off x="251460" y="4533900"/>
          <a:ext cx="1889760" cy="0"/>
        </a:xfrm>
        <a:prstGeom prst="line">
          <a:avLst/>
        </a:prstGeom>
        <a:ln>
          <a:solidFill>
            <a:srgbClr val="ED23D0"/>
          </a:solidFill>
        </a:ln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947420</xdr:colOff>
      <xdr:row>25</xdr:row>
      <xdr:rowOff>165100</xdr:rowOff>
    </xdr:from>
    <xdr:to>
      <xdr:col>0</xdr:col>
      <xdr:colOff>1252220</xdr:colOff>
      <xdr:row>27</xdr:row>
      <xdr:rowOff>43180</xdr:rowOff>
    </xdr:to>
    <xdr:pic>
      <xdr:nvPicPr>
        <xdr:cNvPr id="9" name="LIKDIN" descr="White LinkedIn Logo Icons for Your Websit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FABF8C-1CFB-4B5B-9CC8-9A6F4F0371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420" y="5407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22860</xdr:colOff>
      <xdr:row>5</xdr:row>
      <xdr:rowOff>144780</xdr:rowOff>
    </xdr:from>
    <xdr:to>
      <xdr:col>2</xdr:col>
      <xdr:colOff>1028700</xdr:colOff>
      <xdr:row>6</xdr:row>
      <xdr:rowOff>137160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AD0EB8D-CF4B-4060-A189-66CBEFD654C8}"/>
            </a:ext>
          </a:extLst>
        </xdr:cNvPr>
        <xdr:cNvSpPr/>
      </xdr:nvSpPr>
      <xdr:spPr>
        <a:xfrm>
          <a:off x="3093720" y="1143000"/>
          <a:ext cx="1005840" cy="175260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</a:t>
          </a:r>
          <a:r>
            <a:rPr lang="pt-BR" sz="1100" baseline="0"/>
            <a:t>  </a:t>
          </a:r>
          <a:r>
            <a:rPr lang="pt-BR" sz="1000"/>
            <a:t>ANTERIOR</a:t>
          </a:r>
        </a:p>
      </xdr:txBody>
    </xdr:sp>
    <xdr:clientData/>
  </xdr:twoCellAnchor>
  <xdr:twoCellAnchor>
    <xdr:from>
      <xdr:col>5</xdr:col>
      <xdr:colOff>586740</xdr:colOff>
      <xdr:row>14</xdr:row>
      <xdr:rowOff>175260</xdr:rowOff>
    </xdr:from>
    <xdr:to>
      <xdr:col>11</xdr:col>
      <xdr:colOff>114300</xdr:colOff>
      <xdr:row>26</xdr:row>
      <xdr:rowOff>41910</xdr:rowOff>
    </xdr:to>
    <xdr:graphicFrame macro="">
      <xdr:nvGraphicFramePr>
        <xdr:cNvPr id="23" name="Gráfico 13">
          <a:extLst>
            <a:ext uri="{FF2B5EF4-FFF2-40B4-BE49-F238E27FC236}">
              <a16:creationId xmlns:a16="http://schemas.microsoft.com/office/drawing/2014/main" id="{8759F5FD-9FFB-EAC2-20AB-23501FE8F1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B2E0AD3E-E3E3-414F-B52D-F51AB0E68EE9}"/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7042C-0DDA-4202-9257-A5BFC0360CB6}" name="Tabela1" displayName="Tabela1" ref="C9:E68" insertRowShift="1" totalsRowShown="0" headerRowDxfId="4" dataDxfId="3">
  <autoFilter ref="C9:E68" xr:uid="{CD77042C-0DDA-4202-9257-A5BFC0360CB6}"/>
  <tableColumns count="3">
    <tableColumn id="1" xr3:uid="{6A725B49-64A4-40AC-8B1B-A271BFDD1741}" name="DATA" dataDxfId="2"/>
    <tableColumn id="2" xr3:uid="{4997625A-7B89-4BD1-ADD5-6006D76F1553}" name="CATEGORIA" dataDxfId="1" dataCellStyle="Normal"/>
    <tableColumn id="3" xr3:uid="{337F8324-4B5E-4B21-810F-3F16D09D5573}" name="VALOR" dataDxfId="0" dataCellStyle="Moeda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arolinAlves@gmail.com" TargetMode="External"/><Relationship Id="rId5" Type="http://schemas.microsoft.com/office/2019/04/relationships/namedSheetView" Target="../namedSheetViews/namedSheetView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image" Target="../media/image1.jpeg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9EAB-B058-4EEE-B0F2-047E852FCA2B}">
  <sheetPr codeName="Planilha1">
    <tabColor theme="8" tint="0.79998168889431442"/>
  </sheetPr>
  <dimension ref="A4:D20"/>
  <sheetViews>
    <sheetView showGridLines="0" showRowColHeaders="0" tabSelected="1" zoomScaleNormal="10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41.88671875" bestFit="1" customWidth="1"/>
    <col min="4" max="4" width="35.33203125" customWidth="1"/>
  </cols>
  <sheetData>
    <row r="4" spans="3:4" ht="24" thickBot="1" x14ac:dyDescent="0.6">
      <c r="C4" s="3" t="s">
        <v>13</v>
      </c>
      <c r="D4" s="4"/>
    </row>
    <row r="5" spans="3:4" ht="15" thickTop="1" x14ac:dyDescent="0.3">
      <c r="C5" s="37" t="s">
        <v>82</v>
      </c>
      <c r="D5" s="38"/>
    </row>
    <row r="7" spans="3:4" ht="16.8" x14ac:dyDescent="0.4">
      <c r="C7" s="13" t="s">
        <v>0</v>
      </c>
      <c r="D7" s="17" t="s">
        <v>15</v>
      </c>
    </row>
    <row r="8" spans="3:4" ht="16.8" x14ac:dyDescent="0.4">
      <c r="C8" s="13" t="s">
        <v>1</v>
      </c>
      <c r="D8" s="18">
        <v>42625614677</v>
      </c>
    </row>
    <row r="9" spans="3:4" ht="16.8" x14ac:dyDescent="0.4">
      <c r="C9" s="13" t="s">
        <v>2</v>
      </c>
      <c r="D9" s="19">
        <v>33007</v>
      </c>
    </row>
    <row r="10" spans="3:4" ht="16.8" x14ac:dyDescent="0.4">
      <c r="C10" s="13" t="s">
        <v>3</v>
      </c>
      <c r="D10" s="20">
        <v>410145631524</v>
      </c>
    </row>
    <row r="11" spans="3:4" ht="16.8" x14ac:dyDescent="0.4">
      <c r="C11" s="13" t="s">
        <v>4</v>
      </c>
      <c r="D11" s="21"/>
    </row>
    <row r="12" spans="3:4" ht="16.8" x14ac:dyDescent="0.4">
      <c r="C12" s="13" t="s">
        <v>5</v>
      </c>
      <c r="D12" s="17" t="s">
        <v>90</v>
      </c>
    </row>
    <row r="13" spans="3:4" ht="16.8" x14ac:dyDescent="0.4">
      <c r="C13" s="13" t="s">
        <v>6</v>
      </c>
      <c r="D13" s="22">
        <v>90461400</v>
      </c>
    </row>
    <row r="14" spans="3:4" ht="16.8" x14ac:dyDescent="0.4">
      <c r="C14" s="13" t="s">
        <v>7</v>
      </c>
      <c r="D14" s="23">
        <v>1238821546</v>
      </c>
    </row>
    <row r="15" spans="3:4" ht="16.8" x14ac:dyDescent="0.4">
      <c r="C15" s="13" t="s">
        <v>8</v>
      </c>
      <c r="D15" s="24">
        <v>12997465123</v>
      </c>
    </row>
    <row r="16" spans="3:4" ht="16.8" x14ac:dyDescent="0.4">
      <c r="C16" s="13" t="s">
        <v>9</v>
      </c>
      <c r="D16" s="25" t="s">
        <v>16</v>
      </c>
    </row>
    <row r="17" spans="1:4" ht="16.8" x14ac:dyDescent="0.4">
      <c r="C17" s="13" t="s">
        <v>10</v>
      </c>
      <c r="D17" s="17" t="s">
        <v>14</v>
      </c>
    </row>
    <row r="18" spans="1:4" ht="16.8" x14ac:dyDescent="0.4">
      <c r="C18" s="13" t="s">
        <v>11</v>
      </c>
      <c r="D18" s="17" t="s">
        <v>14</v>
      </c>
    </row>
    <row r="19" spans="1:4" ht="16.8" x14ac:dyDescent="0.4">
      <c r="C19" s="13" t="s">
        <v>12</v>
      </c>
      <c r="D19" s="17" t="s">
        <v>14</v>
      </c>
    </row>
    <row r="20" spans="1:4" ht="17.399999999999999" x14ac:dyDescent="0.45">
      <c r="A20" s="2"/>
    </row>
  </sheetData>
  <sheetProtection sheet="1" objects="1" scenarios="1" selectLockedCells="1"/>
  <mergeCells count="1">
    <mergeCell ref="C5:D5"/>
  </mergeCells>
  <dataValidations count="1">
    <dataValidation type="list" allowBlank="1" showInputMessage="1" showErrorMessage="1" sqref="D17:D19" xr:uid="{5B6D232C-A8D2-428B-8D4C-E2BCF8300B6D}">
      <formula1>"Sim,Não"</formula1>
    </dataValidation>
  </dataValidations>
  <hyperlinks>
    <hyperlink ref="D16" r:id="rId1" xr:uid="{A7DA5803-AD25-42D6-A4B4-4E4E1D334828}"/>
  </hyperlinks>
  <pageMargins left="0.511811024" right="0.511811024" top="0.78740157499999996" bottom="0.78740157499999996" header="0.31496062000000002" footer="0.31496062000000002"/>
  <pageSetup paperSize="9" orientation="landscape" horizontalDpi="360" verticalDpi="360" r:id="rId2"/>
  <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0E5AB-3E87-4FFE-80D0-B389E52F7209}">
  <sheetPr codeName="Planilha2">
    <tabColor theme="8" tint="0.79998168889431442"/>
  </sheetPr>
  <dimension ref="A4:D21"/>
  <sheetViews>
    <sheetView showGridLines="0" showRowColHeaders="0" workbookViewId="0">
      <selection activeCell="D10" sqref="D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41.88671875" bestFit="1" customWidth="1"/>
    <col min="4" max="4" width="35.33203125" customWidth="1"/>
  </cols>
  <sheetData>
    <row r="4" spans="3:4" ht="20.399999999999999" thickBot="1" x14ac:dyDescent="0.45">
      <c r="C4" s="3" t="s">
        <v>17</v>
      </c>
      <c r="D4" s="4"/>
    </row>
    <row r="5" spans="3:4" ht="15" thickTop="1" x14ac:dyDescent="0.3">
      <c r="C5" s="37" t="s">
        <v>83</v>
      </c>
      <c r="D5" s="38"/>
    </row>
    <row r="7" spans="3:4" ht="16.8" x14ac:dyDescent="0.4">
      <c r="C7" s="6" t="s">
        <v>78</v>
      </c>
    </row>
    <row r="8" spans="3:4" ht="18" x14ac:dyDescent="0.35">
      <c r="C8" s="39">
        <f>SUM(D11,D15,D19)</f>
        <v>3900</v>
      </c>
      <c r="D8" s="40"/>
    </row>
    <row r="10" spans="3:4" ht="16.8" x14ac:dyDescent="0.4">
      <c r="C10" s="13" t="s">
        <v>18</v>
      </c>
      <c r="D10" s="17" t="s">
        <v>25</v>
      </c>
    </row>
    <row r="11" spans="3:4" ht="16.8" x14ac:dyDescent="0.4">
      <c r="C11" s="13" t="s">
        <v>19</v>
      </c>
      <c r="D11" s="26">
        <v>1300</v>
      </c>
    </row>
    <row r="12" spans="3:4" ht="16.8" x14ac:dyDescent="0.4">
      <c r="C12" s="13" t="s">
        <v>20</v>
      </c>
      <c r="D12" s="19" t="s">
        <v>21</v>
      </c>
    </row>
    <row r="13" spans="3:4" ht="30" customHeight="1" x14ac:dyDescent="0.4">
      <c r="C13" s="14" t="s">
        <v>74</v>
      </c>
    </row>
    <row r="14" spans="3:4" ht="16.8" x14ac:dyDescent="0.4">
      <c r="C14" s="13" t="s">
        <v>18</v>
      </c>
      <c r="D14" s="17" t="s">
        <v>27</v>
      </c>
    </row>
    <row r="15" spans="3:4" ht="16.8" x14ac:dyDescent="0.4">
      <c r="C15" s="13" t="s">
        <v>19</v>
      </c>
      <c r="D15" s="26">
        <v>1300</v>
      </c>
    </row>
    <row r="16" spans="3:4" ht="16.8" x14ac:dyDescent="0.4">
      <c r="C16" s="13" t="s">
        <v>20</v>
      </c>
      <c r="D16" s="19" t="s">
        <v>76</v>
      </c>
    </row>
    <row r="17" spans="1:4" ht="30" customHeight="1" x14ac:dyDescent="0.4">
      <c r="C17" s="14" t="s">
        <v>75</v>
      </c>
    </row>
    <row r="18" spans="1:4" ht="16.8" x14ac:dyDescent="0.4">
      <c r="C18" s="13" t="s">
        <v>18</v>
      </c>
      <c r="D18" s="17" t="s">
        <v>32</v>
      </c>
    </row>
    <row r="19" spans="1:4" ht="16.8" x14ac:dyDescent="0.4">
      <c r="C19" s="13" t="s">
        <v>19</v>
      </c>
      <c r="D19" s="26">
        <v>1300</v>
      </c>
    </row>
    <row r="20" spans="1:4" ht="17.399999999999999" x14ac:dyDescent="0.45">
      <c r="A20" s="2"/>
      <c r="C20" s="15" t="s">
        <v>20</v>
      </c>
      <c r="D20" s="19" t="s">
        <v>77</v>
      </c>
    </row>
    <row r="21" spans="1:4" ht="16.8" x14ac:dyDescent="0.4">
      <c r="C21" s="16"/>
    </row>
  </sheetData>
  <sheetProtection sheet="1" objects="1" scenarios="1" selectLockedCells="1"/>
  <mergeCells count="2">
    <mergeCell ref="C5:D5"/>
    <mergeCell ref="C8:D8"/>
  </mergeCells>
  <pageMargins left="0.511811024" right="0.511811024" top="0.78740157499999996" bottom="0.78740157499999996" header="0.31496062000000002" footer="0.31496062000000002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 " error="Seu banco não foi localizado _x000a_Confirme seus dados " promptTitle="Informe um Banco" prompt="Informe um Banco_x000a_Vinculado em seu CPF" xr:uid="{937EAB09-96EC-4B48-AE2B-4F3DB99FF968}">
          <x14:formula1>
            <xm:f>TABELA!$A$2:$A$51</xm:f>
          </x14:formula1>
          <xm:sqref>D10 D14 D18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32048-31FD-4A64-B23B-7931FCEDBFCB}">
  <sheetPr codeName="Planilha3">
    <tabColor theme="8" tint="0.79998168889431442"/>
  </sheetPr>
  <dimension ref="A4:H68"/>
  <sheetViews>
    <sheetView showGridLines="0" showRowColHeaders="0" workbookViewId="0">
      <selection activeCell="C18" sqref="C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35.88671875" style="1" customWidth="1"/>
    <col min="3" max="3" width="22.44140625" customWidth="1"/>
    <col min="4" max="4" width="29" customWidth="1"/>
    <col min="5" max="5" width="14.21875" customWidth="1"/>
    <col min="7" max="7" width="12.88671875" bestFit="1" customWidth="1"/>
    <col min="8" max="8" width="10.88671875" bestFit="1" customWidth="1"/>
  </cols>
  <sheetData>
    <row r="4" spans="1:8" ht="20.399999999999999" thickBot="1" x14ac:dyDescent="0.45">
      <c r="C4" s="3" t="s">
        <v>81</v>
      </c>
      <c r="D4" s="4"/>
    </row>
    <row r="5" spans="1:8" ht="15" thickTop="1" x14ac:dyDescent="0.3">
      <c r="C5" s="8" t="s">
        <v>84</v>
      </c>
      <c r="D5" s="9"/>
      <c r="E5" s="5"/>
    </row>
    <row r="7" spans="1:8" ht="16.8" x14ac:dyDescent="0.4">
      <c r="C7" s="6"/>
    </row>
    <row r="8" spans="1:8" ht="16.8" x14ac:dyDescent="0.3">
      <c r="C8" s="41" t="s">
        <v>86</v>
      </c>
      <c r="D8" s="42"/>
      <c r="E8" s="42"/>
      <c r="G8" s="43" t="s">
        <v>78</v>
      </c>
      <c r="H8" s="44"/>
    </row>
    <row r="9" spans="1:8" ht="16.8" x14ac:dyDescent="0.4">
      <c r="C9" s="33" t="s">
        <v>79</v>
      </c>
      <c r="D9" s="33" t="s">
        <v>80</v>
      </c>
      <c r="E9" s="33" t="s">
        <v>85</v>
      </c>
      <c r="G9" s="35" t="s">
        <v>87</v>
      </c>
      <c r="H9" s="34">
        <f>SUMIF(D10:D68,"FREELANCE",E10:E68)</f>
        <v>162</v>
      </c>
    </row>
    <row r="10" spans="1:8" ht="16.8" x14ac:dyDescent="0.4">
      <c r="C10" s="27">
        <v>12052025</v>
      </c>
      <c r="D10" s="28" t="s">
        <v>87</v>
      </c>
      <c r="E10" s="29">
        <v>120</v>
      </c>
      <c r="G10" s="35" t="s">
        <v>88</v>
      </c>
      <c r="H10" s="34">
        <f>SUMIF(D10:D68,"CNPF",E10:E68)</f>
        <v>123</v>
      </c>
    </row>
    <row r="11" spans="1:8" ht="17.399999999999999" x14ac:dyDescent="0.45">
      <c r="A11" s="2"/>
      <c r="C11" s="27">
        <v>15052025</v>
      </c>
      <c r="D11" s="28" t="s">
        <v>87</v>
      </c>
      <c r="E11" s="29">
        <v>30</v>
      </c>
      <c r="G11" s="35" t="s">
        <v>89</v>
      </c>
      <c r="H11" s="34">
        <f>SUMIF(D10:D68,"HOLERITE",E10:E68)</f>
        <v>2000</v>
      </c>
    </row>
    <row r="12" spans="1:8" ht="16.8" x14ac:dyDescent="0.4">
      <c r="C12" s="30">
        <v>20052025</v>
      </c>
      <c r="D12" s="31" t="s">
        <v>87</v>
      </c>
      <c r="E12" s="32">
        <v>12</v>
      </c>
      <c r="G12" s="35" t="s">
        <v>78</v>
      </c>
      <c r="H12" s="36">
        <f>SUM(E10:E68)</f>
        <v>2285</v>
      </c>
    </row>
    <row r="13" spans="1:8" ht="16.8" x14ac:dyDescent="0.4">
      <c r="C13" s="30">
        <v>26052025</v>
      </c>
      <c r="D13" s="31" t="s">
        <v>88</v>
      </c>
      <c r="E13" s="32">
        <v>23</v>
      </c>
      <c r="G13" s="34"/>
      <c r="H13" s="34"/>
    </row>
    <row r="14" spans="1:8" ht="16.8" x14ac:dyDescent="0.4">
      <c r="C14" s="10">
        <v>5052025</v>
      </c>
      <c r="D14" s="11" t="s">
        <v>89</v>
      </c>
      <c r="E14" s="12">
        <v>2000</v>
      </c>
      <c r="G14" s="34"/>
      <c r="H14" s="34"/>
    </row>
    <row r="15" spans="1:8" ht="16.8" x14ac:dyDescent="0.4">
      <c r="C15" s="10">
        <v>29052025</v>
      </c>
      <c r="D15" s="11" t="s">
        <v>88</v>
      </c>
      <c r="E15" s="12">
        <v>100</v>
      </c>
    </row>
    <row r="16" spans="1:8" ht="16.8" x14ac:dyDescent="0.4">
      <c r="C16" s="10"/>
      <c r="D16" s="11"/>
      <c r="E16" s="12"/>
    </row>
    <row r="17" spans="3:5" ht="16.8" x14ac:dyDescent="0.4">
      <c r="C17" s="10"/>
      <c r="D17" s="11"/>
      <c r="E17" s="12"/>
    </row>
    <row r="18" spans="3:5" ht="16.8" x14ac:dyDescent="0.4">
      <c r="C18" s="10"/>
      <c r="D18" s="11"/>
      <c r="E18" s="12"/>
    </row>
    <row r="19" spans="3:5" ht="16.8" x14ac:dyDescent="0.4">
      <c r="C19" s="10"/>
      <c r="D19" s="11"/>
      <c r="E19" s="12"/>
    </row>
    <row r="20" spans="3:5" ht="16.8" x14ac:dyDescent="0.4">
      <c r="C20" s="10"/>
      <c r="D20" s="11"/>
      <c r="E20" s="12"/>
    </row>
    <row r="21" spans="3:5" ht="16.8" x14ac:dyDescent="0.4">
      <c r="C21" s="10"/>
      <c r="D21" s="11"/>
      <c r="E21" s="12"/>
    </row>
    <row r="22" spans="3:5" ht="16.8" x14ac:dyDescent="0.4">
      <c r="C22" s="10"/>
      <c r="D22" s="11"/>
      <c r="E22" s="12"/>
    </row>
    <row r="23" spans="3:5" ht="16.8" x14ac:dyDescent="0.4">
      <c r="C23" s="10"/>
      <c r="D23" s="11"/>
      <c r="E23" s="12"/>
    </row>
    <row r="24" spans="3:5" ht="16.8" x14ac:dyDescent="0.4">
      <c r="C24" s="10"/>
      <c r="D24" s="11"/>
      <c r="E24" s="12"/>
    </row>
    <row r="25" spans="3:5" ht="16.8" x14ac:dyDescent="0.4">
      <c r="C25" s="10"/>
      <c r="D25" s="11"/>
      <c r="E25" s="12"/>
    </row>
    <row r="26" spans="3:5" ht="16.8" x14ac:dyDescent="0.4">
      <c r="C26" s="10"/>
      <c r="D26" s="11"/>
      <c r="E26" s="12"/>
    </row>
    <row r="27" spans="3:5" ht="16.8" x14ac:dyDescent="0.4">
      <c r="C27" s="10"/>
      <c r="D27" s="11"/>
      <c r="E27" s="12"/>
    </row>
    <row r="28" spans="3:5" ht="16.8" x14ac:dyDescent="0.4">
      <c r="C28" s="10"/>
      <c r="D28" s="11"/>
      <c r="E28" s="12"/>
    </row>
    <row r="29" spans="3:5" ht="16.8" x14ac:dyDescent="0.4">
      <c r="C29" s="10"/>
      <c r="D29" s="11"/>
      <c r="E29" s="12"/>
    </row>
    <row r="30" spans="3:5" ht="16.8" x14ac:dyDescent="0.4">
      <c r="C30" s="10"/>
      <c r="D30" s="11"/>
      <c r="E30" s="12"/>
    </row>
    <row r="31" spans="3:5" ht="16.8" x14ac:dyDescent="0.4">
      <c r="C31" s="10"/>
      <c r="D31" s="11"/>
      <c r="E31" s="12"/>
    </row>
    <row r="32" spans="3:5" ht="16.8" x14ac:dyDescent="0.4">
      <c r="C32" s="10"/>
      <c r="D32" s="11"/>
      <c r="E32" s="12"/>
    </row>
    <row r="33" spans="3:5" ht="16.8" x14ac:dyDescent="0.4">
      <c r="C33" s="10"/>
      <c r="D33" s="11"/>
      <c r="E33" s="12"/>
    </row>
    <row r="34" spans="3:5" ht="16.8" x14ac:dyDescent="0.4">
      <c r="C34" s="10"/>
      <c r="D34" s="11"/>
      <c r="E34" s="12"/>
    </row>
    <row r="35" spans="3:5" ht="16.8" x14ac:dyDescent="0.4">
      <c r="C35" s="10"/>
      <c r="D35" s="11"/>
      <c r="E35" s="12"/>
    </row>
    <row r="36" spans="3:5" ht="16.8" x14ac:dyDescent="0.4">
      <c r="C36" s="10"/>
      <c r="D36" s="11"/>
      <c r="E36" s="12"/>
    </row>
    <row r="37" spans="3:5" ht="16.8" x14ac:dyDescent="0.4">
      <c r="C37" s="10"/>
      <c r="D37" s="11"/>
      <c r="E37" s="12"/>
    </row>
    <row r="38" spans="3:5" ht="16.8" x14ac:dyDescent="0.4">
      <c r="C38" s="10"/>
      <c r="D38" s="11"/>
      <c r="E38" s="12"/>
    </row>
    <row r="39" spans="3:5" ht="16.8" x14ac:dyDescent="0.4">
      <c r="C39" s="10"/>
      <c r="D39" s="11"/>
      <c r="E39" s="12"/>
    </row>
    <row r="40" spans="3:5" ht="16.8" x14ac:dyDescent="0.4">
      <c r="C40" s="10"/>
      <c r="D40" s="11"/>
      <c r="E40" s="12"/>
    </row>
    <row r="41" spans="3:5" ht="16.8" x14ac:dyDescent="0.4">
      <c r="C41" s="10"/>
      <c r="D41" s="11"/>
      <c r="E41" s="12"/>
    </row>
    <row r="42" spans="3:5" ht="16.8" x14ac:dyDescent="0.4">
      <c r="C42" s="10"/>
      <c r="D42" s="11"/>
      <c r="E42" s="12"/>
    </row>
    <row r="43" spans="3:5" ht="16.8" x14ac:dyDescent="0.4">
      <c r="C43" s="10"/>
      <c r="D43" s="11"/>
      <c r="E43" s="12"/>
    </row>
    <row r="44" spans="3:5" ht="16.8" x14ac:dyDescent="0.4">
      <c r="C44" s="10"/>
      <c r="D44" s="11"/>
      <c r="E44" s="12"/>
    </row>
    <row r="45" spans="3:5" ht="16.8" x14ac:dyDescent="0.4">
      <c r="C45" s="10"/>
      <c r="D45" s="11"/>
      <c r="E45" s="12"/>
    </row>
    <row r="46" spans="3:5" ht="16.8" x14ac:dyDescent="0.4">
      <c r="C46" s="10"/>
      <c r="D46" s="11"/>
      <c r="E46" s="12"/>
    </row>
    <row r="47" spans="3:5" ht="16.8" x14ac:dyDescent="0.4">
      <c r="C47" s="10"/>
      <c r="D47" s="11"/>
      <c r="E47" s="12"/>
    </row>
    <row r="48" spans="3:5" ht="16.8" x14ac:dyDescent="0.4">
      <c r="C48" s="10"/>
      <c r="D48" s="11"/>
      <c r="E48" s="12"/>
    </row>
    <row r="49" spans="3:5" ht="16.8" x14ac:dyDescent="0.4">
      <c r="C49" s="10"/>
      <c r="D49" s="11"/>
      <c r="E49" s="12"/>
    </row>
    <row r="50" spans="3:5" ht="16.8" x14ac:dyDescent="0.4">
      <c r="C50" s="10"/>
      <c r="D50" s="11"/>
      <c r="E50" s="12"/>
    </row>
    <row r="51" spans="3:5" ht="16.8" x14ac:dyDescent="0.4">
      <c r="C51" s="10"/>
      <c r="D51" s="11"/>
      <c r="E51" s="12"/>
    </row>
    <row r="52" spans="3:5" ht="16.8" x14ac:dyDescent="0.4">
      <c r="C52" s="10"/>
      <c r="D52" s="11"/>
      <c r="E52" s="12"/>
    </row>
    <row r="53" spans="3:5" ht="16.8" x14ac:dyDescent="0.4">
      <c r="C53" s="10"/>
      <c r="D53" s="11"/>
      <c r="E53" s="12"/>
    </row>
    <row r="54" spans="3:5" ht="16.8" x14ac:dyDescent="0.4">
      <c r="C54" s="10"/>
      <c r="D54" s="11"/>
      <c r="E54" s="12"/>
    </row>
    <row r="55" spans="3:5" ht="16.8" x14ac:dyDescent="0.4">
      <c r="C55" s="10"/>
      <c r="D55" s="11"/>
      <c r="E55" s="12"/>
    </row>
    <row r="56" spans="3:5" ht="16.8" x14ac:dyDescent="0.4">
      <c r="C56" s="10"/>
      <c r="D56" s="11"/>
      <c r="E56" s="12"/>
    </row>
    <row r="57" spans="3:5" ht="16.8" x14ac:dyDescent="0.4">
      <c r="C57" s="10"/>
      <c r="D57" s="11"/>
      <c r="E57" s="12"/>
    </row>
    <row r="58" spans="3:5" ht="16.8" x14ac:dyDescent="0.4">
      <c r="C58" s="10"/>
      <c r="D58" s="11"/>
      <c r="E58" s="12"/>
    </row>
    <row r="59" spans="3:5" ht="16.8" x14ac:dyDescent="0.4">
      <c r="C59" s="10"/>
      <c r="D59" s="11"/>
      <c r="E59" s="12"/>
    </row>
    <row r="60" spans="3:5" ht="16.8" x14ac:dyDescent="0.4">
      <c r="C60" s="10"/>
      <c r="D60" s="11"/>
      <c r="E60" s="12"/>
    </row>
    <row r="61" spans="3:5" ht="16.8" x14ac:dyDescent="0.4">
      <c r="C61" s="10"/>
      <c r="D61" s="11"/>
      <c r="E61" s="12"/>
    </row>
    <row r="62" spans="3:5" ht="16.8" x14ac:dyDescent="0.4">
      <c r="C62" s="10"/>
      <c r="D62" s="11"/>
      <c r="E62" s="12"/>
    </row>
    <row r="63" spans="3:5" ht="16.8" x14ac:dyDescent="0.4">
      <c r="C63" s="10"/>
      <c r="D63" s="11"/>
      <c r="E63" s="12"/>
    </row>
    <row r="64" spans="3:5" ht="16.8" x14ac:dyDescent="0.4">
      <c r="C64" s="10"/>
      <c r="D64" s="11"/>
      <c r="E64" s="12"/>
    </row>
    <row r="65" spans="3:5" ht="16.8" x14ac:dyDescent="0.4">
      <c r="C65" s="10"/>
      <c r="D65" s="11"/>
      <c r="E65" s="12"/>
    </row>
    <row r="66" spans="3:5" ht="16.8" x14ac:dyDescent="0.4">
      <c r="C66" s="10"/>
      <c r="D66" s="11"/>
      <c r="E66" s="12"/>
    </row>
    <row r="67" spans="3:5" ht="16.8" x14ac:dyDescent="0.4">
      <c r="C67" s="10"/>
      <c r="D67" s="11"/>
      <c r="E67" s="12"/>
    </row>
    <row r="68" spans="3:5" ht="16.8" x14ac:dyDescent="0.4">
      <c r="C68" s="10"/>
      <c r="D68" s="11"/>
      <c r="E68" s="12"/>
    </row>
  </sheetData>
  <sheetProtection sheet="1" objects="1" scenarios="1" selectLockedCells="1"/>
  <mergeCells count="2">
    <mergeCell ref="C8:E8"/>
    <mergeCell ref="G8:H8"/>
  </mergeCells>
  <dataValidations count="1">
    <dataValidation type="list" allowBlank="1" showInputMessage="1" showErrorMessage="1" sqref="D10:D68" xr:uid="{0B218C53-B4DA-4923-BC6A-12C322C32897}">
      <formula1>"HOLERITE,CNPF,FREELANCE"</formula1>
    </dataValidation>
  </dataValidations>
  <pageMargins left="0.511811024" right="0.511811024" top="0.78740157499999996" bottom="0.78740157499999996" header="0.31496062000000002" footer="0.31496062000000002"/>
  <drawing r:id="rId1"/>
  <picture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82242-4F55-44A2-9D0D-BA2228F5F37F}">
  <sheetPr codeName="Planilha4"/>
  <dimension ref="A1:H51"/>
  <sheetViews>
    <sheetView workbookViewId="0">
      <selection activeCell="A28" sqref="A28"/>
    </sheetView>
  </sheetViews>
  <sheetFormatPr defaultRowHeight="14.4" x14ac:dyDescent="0.3"/>
  <cols>
    <col min="1" max="1" width="34.88671875" bestFit="1" customWidth="1"/>
  </cols>
  <sheetData>
    <row r="1" spans="1:8" x14ac:dyDescent="0.3">
      <c r="A1" s="7" t="s">
        <v>22</v>
      </c>
    </row>
    <row r="2" spans="1:8" x14ac:dyDescent="0.3">
      <c r="A2" t="s">
        <v>23</v>
      </c>
    </row>
    <row r="3" spans="1:8" x14ac:dyDescent="0.3">
      <c r="A3" t="s">
        <v>24</v>
      </c>
    </row>
    <row r="4" spans="1:8" x14ac:dyDescent="0.3">
      <c r="A4" t="s">
        <v>25</v>
      </c>
    </row>
    <row r="5" spans="1:8" x14ac:dyDescent="0.3">
      <c r="A5" t="s">
        <v>26</v>
      </c>
    </row>
    <row r="6" spans="1:8" x14ac:dyDescent="0.3">
      <c r="A6" t="s">
        <v>27</v>
      </c>
    </row>
    <row r="7" spans="1:8" x14ac:dyDescent="0.3">
      <c r="A7" t="s">
        <v>28</v>
      </c>
    </row>
    <row r="8" spans="1:8" x14ac:dyDescent="0.3">
      <c r="A8" t="s">
        <v>29</v>
      </c>
    </row>
    <row r="9" spans="1:8" x14ac:dyDescent="0.3">
      <c r="A9" t="s">
        <v>30</v>
      </c>
    </row>
    <row r="10" spans="1:8" x14ac:dyDescent="0.3">
      <c r="A10" t="s">
        <v>31</v>
      </c>
      <c r="H10" t="s">
        <v>73</v>
      </c>
    </row>
    <row r="11" spans="1:8" x14ac:dyDescent="0.3">
      <c r="A11" t="s">
        <v>32</v>
      </c>
    </row>
    <row r="12" spans="1:8" x14ac:dyDescent="0.3">
      <c r="A12" t="s">
        <v>33</v>
      </c>
    </row>
    <row r="13" spans="1:8" x14ac:dyDescent="0.3">
      <c r="A13" t="s">
        <v>34</v>
      </c>
    </row>
    <row r="14" spans="1:8" x14ac:dyDescent="0.3">
      <c r="A14" t="s">
        <v>35</v>
      </c>
    </row>
    <row r="15" spans="1:8" x14ac:dyDescent="0.3">
      <c r="A15" t="s">
        <v>36</v>
      </c>
    </row>
    <row r="16" spans="1:8" x14ac:dyDescent="0.3">
      <c r="A16" t="s">
        <v>37</v>
      </c>
    </row>
    <row r="17" spans="1:1" x14ac:dyDescent="0.3">
      <c r="A17" t="s">
        <v>38</v>
      </c>
    </row>
    <row r="18" spans="1:1" x14ac:dyDescent="0.3">
      <c r="A18" t="s">
        <v>39</v>
      </c>
    </row>
    <row r="19" spans="1:1" x14ac:dyDescent="0.3">
      <c r="A19" t="s">
        <v>40</v>
      </c>
    </row>
    <row r="20" spans="1:1" x14ac:dyDescent="0.3">
      <c r="A20" t="s">
        <v>41</v>
      </c>
    </row>
    <row r="21" spans="1:1" x14ac:dyDescent="0.3">
      <c r="A21" t="s">
        <v>42</v>
      </c>
    </row>
    <row r="22" spans="1:1" x14ac:dyDescent="0.3">
      <c r="A22" t="s">
        <v>43</v>
      </c>
    </row>
    <row r="23" spans="1:1" x14ac:dyDescent="0.3">
      <c r="A23" t="s">
        <v>44</v>
      </c>
    </row>
    <row r="24" spans="1:1" x14ac:dyDescent="0.3">
      <c r="A24" t="s">
        <v>45</v>
      </c>
    </row>
    <row r="25" spans="1:1" x14ac:dyDescent="0.3">
      <c r="A25" t="s">
        <v>46</v>
      </c>
    </row>
    <row r="26" spans="1:1" x14ac:dyDescent="0.3">
      <c r="A26" t="s">
        <v>47</v>
      </c>
    </row>
    <row r="27" spans="1:1" x14ac:dyDescent="0.3">
      <c r="A27" t="s">
        <v>48</v>
      </c>
    </row>
    <row r="28" spans="1:1" x14ac:dyDescent="0.3">
      <c r="A28" t="s">
        <v>49</v>
      </c>
    </row>
    <row r="29" spans="1:1" x14ac:dyDescent="0.3">
      <c r="A29" t="s">
        <v>50</v>
      </c>
    </row>
    <row r="30" spans="1:1" x14ac:dyDescent="0.3">
      <c r="A30" t="s">
        <v>51</v>
      </c>
    </row>
    <row r="31" spans="1:1" x14ac:dyDescent="0.3">
      <c r="A31" t="s">
        <v>52</v>
      </c>
    </row>
    <row r="32" spans="1:1" x14ac:dyDescent="0.3">
      <c r="A32" t="s">
        <v>53</v>
      </c>
    </row>
    <row r="33" spans="1:1" x14ac:dyDescent="0.3">
      <c r="A33" t="s">
        <v>54</v>
      </c>
    </row>
    <row r="34" spans="1:1" x14ac:dyDescent="0.3">
      <c r="A34" t="s">
        <v>55</v>
      </c>
    </row>
    <row r="35" spans="1:1" x14ac:dyDescent="0.3">
      <c r="A35" t="s">
        <v>56</v>
      </c>
    </row>
    <row r="36" spans="1:1" x14ac:dyDescent="0.3">
      <c r="A36" t="s">
        <v>57</v>
      </c>
    </row>
    <row r="37" spans="1:1" x14ac:dyDescent="0.3">
      <c r="A37" t="s">
        <v>58</v>
      </c>
    </row>
    <row r="38" spans="1:1" x14ac:dyDescent="0.3">
      <c r="A38" t="s">
        <v>59</v>
      </c>
    </row>
    <row r="39" spans="1:1" x14ac:dyDescent="0.3">
      <c r="A39" t="s">
        <v>60</v>
      </c>
    </row>
    <row r="40" spans="1:1" x14ac:dyDescent="0.3">
      <c r="A40" t="s">
        <v>61</v>
      </c>
    </row>
    <row r="41" spans="1:1" x14ac:dyDescent="0.3">
      <c r="A41" t="s">
        <v>62</v>
      </c>
    </row>
    <row r="42" spans="1:1" x14ac:dyDescent="0.3">
      <c r="A42" t="s">
        <v>63</v>
      </c>
    </row>
    <row r="43" spans="1:1" x14ac:dyDescent="0.3">
      <c r="A43" t="s">
        <v>64</v>
      </c>
    </row>
    <row r="44" spans="1:1" x14ac:dyDescent="0.3">
      <c r="A44" t="s">
        <v>65</v>
      </c>
    </row>
    <row r="45" spans="1:1" x14ac:dyDescent="0.3">
      <c r="A45" t="s">
        <v>66</v>
      </c>
    </row>
    <row r="46" spans="1:1" x14ac:dyDescent="0.3">
      <c r="A46" t="s">
        <v>67</v>
      </c>
    </row>
    <row r="47" spans="1:1" x14ac:dyDescent="0.3">
      <c r="A47" t="s">
        <v>68</v>
      </c>
    </row>
    <row r="48" spans="1:1" x14ac:dyDescent="0.3">
      <c r="A48" t="s">
        <v>69</v>
      </c>
    </row>
    <row r="49" spans="1:1" x14ac:dyDescent="0.3">
      <c r="A49" t="s">
        <v>70</v>
      </c>
    </row>
    <row r="50" spans="1:1" x14ac:dyDescent="0.3">
      <c r="A50" t="s">
        <v>71</v>
      </c>
    </row>
    <row r="51" spans="1:1" x14ac:dyDescent="0.3">
      <c r="A51" t="s">
        <v>72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TÍTULAR</vt:lpstr>
      <vt:lpstr>INFORMES</vt:lpstr>
      <vt:lpstr>NOTAS</vt:lpstr>
      <vt:lpstr>TABELA</vt:lpstr>
      <vt:lpstr>TÍTULAR!Area_de_impressao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Priscila Trindade</dc:creator>
  <cp:lastModifiedBy>Priscila Trindade</cp:lastModifiedBy>
  <dcterms:created xsi:type="dcterms:W3CDTF">2025-06-04T22:53:56Z</dcterms:created>
  <dcterms:modified xsi:type="dcterms:W3CDTF">2025-06-30T23:12:36Z</dcterms:modified>
</cp:coreProperties>
</file>